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xr:revisionPtr revIDLastSave="0" documentId="8_{5BF4F943-6134-430D-8D1E-D36A9C91AB6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Overblik" sheetId="1" r:id="rId1"/>
    <sheet name="myp-data" sheetId="2" r:id="rId2"/>
  </sheets>
  <definedNames>
    <definedName name="_xlnm._FilterDatabase" localSheetId="0" hidden="1">Overblik!$I$6:$I$53</definedName>
    <definedName name="Z_EB665474_44B0_4EFB_B4D4_7F139B5DD340_.wvu.FilterData" localSheetId="0" hidden="1">Overblik!$B$6:$I$53</definedName>
  </definedNames>
  <calcPr calcId="191028"/>
  <customWorkbookViews>
    <customWorkbookView name="Total&gt;0" guid="{EB665474-44B0-4EFB-B4D4-7F139B5DD340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H7" i="1"/>
  <c r="G7" i="1"/>
  <c r="F7" i="1"/>
  <c r="E7" i="1"/>
  <c r="B4" i="1"/>
  <c r="I21" i="1" l="1"/>
  <c r="D21" i="1" s="1"/>
  <c r="I32" i="1"/>
  <c r="D32" i="1" s="1"/>
  <c r="I33" i="1"/>
  <c r="D33" i="1" s="1"/>
  <c r="I35" i="1"/>
  <c r="D35" i="1" s="1"/>
  <c r="I38" i="1"/>
  <c r="D38" i="1" s="1"/>
  <c r="I50" i="1"/>
  <c r="D50" i="1" s="1"/>
  <c r="I51" i="1"/>
  <c r="D51" i="1" s="1"/>
  <c r="I53" i="1"/>
  <c r="D53" i="1" s="1"/>
  <c r="I10" i="1"/>
  <c r="D10" i="1" s="1"/>
  <c r="I16" i="1"/>
  <c r="D16" i="1" s="1"/>
  <c r="I20" i="1"/>
  <c r="D20" i="1" s="1"/>
  <c r="I46" i="1"/>
  <c r="D46" i="1" s="1"/>
  <c r="I14" i="1"/>
  <c r="D14" i="1" s="1"/>
  <c r="I22" i="1"/>
  <c r="D22" i="1" s="1"/>
  <c r="I26" i="1"/>
  <c r="D26" i="1" s="1"/>
  <c r="I28" i="1"/>
  <c r="D28" i="1" s="1"/>
  <c r="I44" i="1"/>
  <c r="D44" i="1" s="1"/>
  <c r="I34" i="1"/>
  <c r="D34" i="1" s="1"/>
  <c r="I39" i="1"/>
  <c r="D39" i="1" s="1"/>
  <c r="I41" i="1"/>
  <c r="D41" i="1" s="1"/>
  <c r="I52" i="1"/>
  <c r="D52" i="1" s="1"/>
  <c r="I8" i="1"/>
  <c r="D8" i="1" s="1"/>
  <c r="I9" i="1"/>
  <c r="D9" i="1" s="1"/>
  <c r="I11" i="1"/>
  <c r="D11" i="1" s="1"/>
  <c r="I15" i="1"/>
  <c r="D15" i="1" s="1"/>
  <c r="I17" i="1"/>
  <c r="D17" i="1" s="1"/>
  <c r="I23" i="1"/>
  <c r="D23" i="1" s="1"/>
  <c r="I27" i="1"/>
  <c r="D27" i="1" s="1"/>
  <c r="I29" i="1"/>
  <c r="D29" i="1" s="1"/>
  <c r="I40" i="1"/>
  <c r="D40" i="1" s="1"/>
  <c r="I45" i="1"/>
  <c r="D45" i="1" s="1"/>
  <c r="I47" i="1"/>
  <c r="D47" i="1" s="1"/>
  <c r="I7" i="1"/>
  <c r="D7" i="1" s="1"/>
  <c r="I13" i="1"/>
  <c r="D13" i="1" s="1"/>
  <c r="I19" i="1"/>
  <c r="D19" i="1" s="1"/>
  <c r="I25" i="1"/>
  <c r="D25" i="1" s="1"/>
  <c r="I31" i="1"/>
  <c r="D31" i="1" s="1"/>
  <c r="I37" i="1"/>
  <c r="D37" i="1" s="1"/>
  <c r="I43" i="1"/>
  <c r="D43" i="1" s="1"/>
  <c r="I49" i="1"/>
  <c r="D49" i="1" s="1"/>
  <c r="I12" i="1"/>
  <c r="D12" i="1" s="1"/>
  <c r="I18" i="1"/>
  <c r="D18" i="1" s="1"/>
  <c r="I24" i="1"/>
  <c r="D24" i="1" s="1"/>
  <c r="I30" i="1"/>
  <c r="D30" i="1" s="1"/>
  <c r="I36" i="1"/>
  <c r="D36" i="1" s="1"/>
  <c r="I42" i="1"/>
  <c r="D42" i="1" s="1"/>
  <c r="I48" i="1"/>
  <c r="D48" i="1" s="1"/>
</calcChain>
</file>

<file path=xl/sharedStrings.xml><?xml version="1.0" encoding="utf-8"?>
<sst xmlns="http://schemas.openxmlformats.org/spreadsheetml/2006/main" count="14" uniqueCount="14">
  <si>
    <t>https://automyp.alexanders.dk</t>
  </si>
  <si>
    <t>MYP-STATUS POWER &lt;AFDELING&gt;</t>
  </si>
  <si>
    <t>SÆLGERKODE</t>
  </si>
  <si>
    <t>NAVN</t>
  </si>
  <si>
    <t>HITRATE</t>
  </si>
  <si>
    <t>"MYPOWER"</t>
  </si>
  <si>
    <t>"IM"</t>
  </si>
  <si>
    <t>"Er MYP"</t>
  </si>
  <si>
    <t>Ikke spurgt</t>
  </si>
  <si>
    <t>TOTAL</t>
  </si>
  <si>
    <t>Alexander</t>
  </si>
  <si>
    <t>Julie A.</t>
  </si>
  <si>
    <t>Søren E.</t>
  </si>
  <si>
    <t>Peter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</si>
</sst>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7"/>
      <color rgb="FFFFFFFF"/>
      <name val="Arial"/>
      <scheme val="minor"/>
    </font>
    <font>
      <b/>
      <i/>
      <sz val="9"/>
      <color rgb="FFCCCCCC"/>
      <name val="Arial"/>
      <scheme val="minor"/>
    </font>
    <font>
      <b/>
      <sz val="12"/>
      <color rgb="FFF36F21"/>
      <name val="Arial"/>
      <scheme val="minor"/>
    </font>
    <font>
      <b/>
      <i/>
      <sz val="12"/>
      <color rgb="FFF36F21"/>
      <name val="Arial"/>
      <scheme val="minor"/>
    </font>
    <font>
      <sz val="10"/>
      <color rgb="FFCCCCCC"/>
      <name val="Arial"/>
      <scheme val="minor"/>
    </font>
    <font>
      <sz val="10"/>
      <color rgb="FFFFFFFF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3639"/>
        <bgColor rgb="FF313639"/>
      </patternFill>
    </fill>
    <fill>
      <patternFill patternType="solid">
        <fgColor rgb="FF31363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666666"/>
      </bottom>
      <diagonal/>
    </border>
    <border>
      <left/>
      <right style="dashed">
        <color theme="1" tint="0.34998626667073579"/>
      </right>
      <top/>
      <bottom style="dashed">
        <color theme="1" tint="0.34998626667073579"/>
      </bottom>
      <diagonal/>
    </border>
    <border>
      <left style="dashed">
        <color theme="1" tint="0.34998626667073579"/>
      </left>
      <right style="dashed">
        <color theme="1" tint="0.34998626667073579"/>
      </right>
      <top/>
      <bottom style="dashed">
        <color theme="1" tint="0.34998626667073579"/>
      </bottom>
      <diagonal/>
    </border>
    <border>
      <left style="dashed">
        <color theme="1" tint="0.34998626667073579"/>
      </left>
      <right/>
      <top/>
      <bottom style="dashed">
        <color theme="1" tint="0.34998626667073579"/>
      </bottom>
      <diagonal/>
    </border>
    <border>
      <left/>
      <right style="dashed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  <border>
      <left style="dashed">
        <color theme="1" tint="0.34998626667073579"/>
      </left>
      <right style="dashed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  <border>
      <left style="dashed">
        <color theme="1" tint="0.34998626667073579"/>
      </left>
      <right/>
      <top style="dashed">
        <color theme="1" tint="0.34998626667073579"/>
      </top>
      <bottom style="dashed">
        <color theme="1" tint="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1" fillId="2" borderId="3" xfId="0" applyFont="1" applyFill="1" applyBorder="1"/>
    <xf numFmtId="164" fontId="1" fillId="3" borderId="3" xfId="0" applyNumberFormat="1" applyFont="1" applyFill="1" applyBorder="1" applyAlignment="1">
      <alignment horizontal="center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1" fillId="2" borderId="6" xfId="0" applyFont="1" applyFill="1" applyBorder="1"/>
    <xf numFmtId="0" fontId="7" fillId="2" borderId="6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8" fillId="0" borderId="0" xfId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0" fillId="0" borderId="8" xfId="0" applyBorder="1"/>
    <xf numFmtId="16" fontId="0" fillId="0" borderId="8" xfId="0" applyNumberFormat="1" applyBorder="1"/>
    <xf numFmtId="17" fontId="0" fillId="0" borderId="8" xfId="0" applyNumberFormat="1" applyBorder="1"/>
    <xf numFmtId="3" fontId="0" fillId="0" borderId="9" xfId="0" applyNumberFormat="1" applyBorder="1"/>
    <xf numFmtId="0" fontId="0" fillId="0" borderId="10" xfId="0" applyBorder="1"/>
    <xf numFmtId="0" fontId="0" fillId="0" borderId="11" xfId="0" applyBorder="1"/>
    <xf numFmtId="3" fontId="0" fillId="0" borderId="12" xfId="0" applyNumberFormat="1" applyBorder="1"/>
    <xf numFmtId="0" fontId="0" fillId="0" borderId="13" xfId="0" applyBorder="1"/>
    <xf numFmtId="0" fontId="0" fillId="0" borderId="12" xfId="0" applyBorder="1"/>
    <xf numFmtId="0" fontId="0" fillId="0" borderId="0" xfId="0" applyAlignment="1"/>
  </cellXfs>
  <cellStyles count="2">
    <cellStyle name="Hyperlink" xfId="1" builtinId="8"/>
    <cellStyle name="Normal" xfId="0" builtinId="0"/>
  </cellStyles>
  <dxfs count="4">
    <dxf>
      <font>
        <color theme="0"/>
      </font>
      <fill>
        <patternFill patternType="solid">
          <bgColor rgb="FF313639"/>
        </patternFill>
      </fill>
    </dxf>
    <dxf>
      <font>
        <color rgb="FFFF0000"/>
      </font>
      <fill>
        <patternFill patternType="solid">
          <bgColor rgb="FF313639"/>
        </patternFill>
      </fill>
    </dxf>
    <dxf>
      <font>
        <color rgb="FFFFC000"/>
      </font>
      <fill>
        <patternFill patternType="solid">
          <bgColor rgb="FF313639"/>
        </patternFill>
      </fill>
    </dxf>
    <dxf>
      <font>
        <color theme="7"/>
      </font>
      <fill>
        <patternFill patternType="solid">
          <bgColor rgb="FF313639"/>
        </patternFill>
      </fill>
    </dxf>
  </dxfs>
  <tableStyles count="0" defaultTableStyle="TableStyleMedium2" defaultPivotStyle="PivotStyleLight16"/>
  <colors>
    <mruColors>
      <color rgb="FF313639"/>
      <color rgb="FF3811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1</xdr:row>
      <xdr:rowOff>28575</xdr:rowOff>
    </xdr:from>
    <xdr:ext cx="253365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62225" y="152400"/>
          <a:ext cx="2533650" cy="419100"/>
        </a:xfrm>
        <a:prstGeom prst="rect">
          <a:avLst/>
        </a:prstGeom>
        <a:noFill/>
      </xdr:spPr>
    </xdr:pic>
    <xdr:clientData fLocksWithSheet="0"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ræsentation" id="{3C515C3A-566D-479F-A3C1-789D5C05A9EA}">
    <nsvFilter filterId="{00000000-0001-0000-0000-000000000000}" ref="I6:I53" tableId="0">
      <columnFilter colId="0">
        <filter colId="0">
          <x:customFilters>
            <x:customFilter operator="greaterThan" val="0"/>
          </x:customFilters>
        </filter>
      </columnFilter>
    </nsvFilter>
  </namedSheetView>
</namedSheetView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hyperlink" Target="https://automyp.alexanders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3"/>
  <sheetViews>
    <sheetView showGridLines="0" showRowColHeaders="0" workbookViewId="0">
      <selection activeCell="B3" sqref="B3:I3"/>
    </sheetView>
  </sheetViews>
  <sheetFormatPr defaultColWidth="12.5703125" defaultRowHeight="15.75" customHeight="1"/>
  <cols>
    <col min="1" max="1" width="1.7109375" customWidth="1"/>
    <col min="2" max="2" width="18.140625" customWidth="1"/>
    <col min="3" max="3" width="14.42578125" customWidth="1"/>
    <col min="4" max="4" width="12.42578125" customWidth="1"/>
    <col min="5" max="5" width="15.85546875" customWidth="1"/>
    <col min="6" max="8" width="13.42578125" customWidth="1"/>
    <col min="9" max="9" width="11" customWidth="1"/>
    <col min="10" max="10" width="1.7109375" customWidth="1"/>
  </cols>
  <sheetData>
    <row r="1" spans="1:11" ht="9.75" customHeight="1">
      <c r="A1" s="1"/>
      <c r="B1" s="22"/>
      <c r="C1" s="34"/>
      <c r="D1" s="34"/>
      <c r="E1" s="34"/>
      <c r="F1" s="34"/>
      <c r="G1" s="34"/>
      <c r="H1" s="34"/>
      <c r="I1" s="34"/>
      <c r="J1" s="1"/>
    </row>
    <row r="2" spans="1:11" ht="37.5" customHeight="1">
      <c r="A2" s="2"/>
      <c r="B2" s="21"/>
      <c r="C2" s="34"/>
      <c r="D2" s="34"/>
      <c r="E2" s="34"/>
      <c r="F2" s="34"/>
      <c r="G2" s="34"/>
      <c r="H2" s="34"/>
      <c r="I2" s="34"/>
      <c r="J2" s="2"/>
      <c r="K2" s="20" t="s">
        <v>0</v>
      </c>
    </row>
    <row r="3" spans="1:11" ht="27" customHeight="1">
      <c r="A3" s="3"/>
      <c r="B3" s="23" t="s">
        <v>1</v>
      </c>
      <c r="C3" s="34"/>
      <c r="D3" s="34"/>
      <c r="E3" s="34"/>
      <c r="F3" s="34"/>
      <c r="G3" s="34"/>
      <c r="H3" s="34"/>
      <c r="I3" s="34"/>
      <c r="J3" s="3"/>
    </row>
    <row r="4" spans="1:11" ht="12.75" customHeight="1">
      <c r="A4" s="3"/>
      <c r="B4" s="24">
        <f ca="1">TODAY()-1</f>
        <v>45694</v>
      </c>
      <c r="C4" s="34"/>
      <c r="D4" s="34"/>
      <c r="E4" s="34"/>
      <c r="F4" s="34"/>
      <c r="G4" s="34"/>
      <c r="H4" s="34"/>
      <c r="I4" s="34"/>
      <c r="J4" s="3"/>
    </row>
    <row r="5" spans="1:11" ht="9.75" customHeight="1">
      <c r="A5" s="1"/>
      <c r="B5" s="22"/>
      <c r="C5" s="34"/>
      <c r="D5" s="34"/>
      <c r="E5" s="34"/>
      <c r="F5" s="34"/>
      <c r="G5" s="34"/>
      <c r="H5" s="34"/>
      <c r="I5" s="34"/>
      <c r="J5" s="1"/>
    </row>
    <row r="6" spans="1:11">
      <c r="A6" s="4"/>
      <c r="B6" s="4" t="s">
        <v>2</v>
      </c>
      <c r="C6" s="5" t="s">
        <v>3</v>
      </c>
      <c r="D6" s="5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7" t="s">
        <v>9</v>
      </c>
      <c r="J6" s="7"/>
    </row>
    <row r="7" spans="1:11">
      <c r="A7" s="8"/>
      <c r="B7" s="9">
        <v>381554</v>
      </c>
      <c r="C7" s="10" t="s">
        <v>10</v>
      </c>
      <c r="D7" s="11" t="str">
        <f>IFERROR((E7+G7+F7*0.5)/I7, "n/a")</f>
        <v>n/a</v>
      </c>
      <c r="E7" s="17">
        <f>COUNTIFS('myp-data'!$B:$B, $B7, 'myp-data'!$F:$F, 3)</f>
        <v>0</v>
      </c>
      <c r="F7" s="17">
        <f>COUNTIFS('myp-data'!$B:$B, $B7, 'myp-data'!$F:$F, 2)</f>
        <v>0</v>
      </c>
      <c r="G7" s="17">
        <f>COUNTIFS('myp-data'!$B:$B, $B7, 'myp-data'!$F:$F, 1)</f>
        <v>0</v>
      </c>
      <c r="H7" s="17">
        <f>COUNTIFS('myp-data'!$B:$B, $B7, 'myp-data'!$F:$F, 0)</f>
        <v>0</v>
      </c>
      <c r="I7" s="12">
        <f t="shared" ref="I7:I53" si="0">SUM(E7:H7)</f>
        <v>0</v>
      </c>
      <c r="J7" s="13"/>
    </row>
    <row r="8" spans="1:11" ht="12.75">
      <c r="A8" s="14"/>
      <c r="B8" s="15">
        <v>386925</v>
      </c>
      <c r="C8" s="16" t="s">
        <v>11</v>
      </c>
      <c r="D8" s="11" t="str">
        <f t="shared" ref="D8:D53" si="1">IFERROR((E8+G8+F8*0.5)/I8, "n/a")</f>
        <v>n/a</v>
      </c>
      <c r="E8" s="17">
        <f>COUNTIFS('myp-data'!$B:$B, $B8, 'myp-data'!$F:$F, 3)</f>
        <v>0</v>
      </c>
      <c r="F8" s="17">
        <f>COUNTIFS('myp-data'!$B:$B, $B8, 'myp-data'!$F:$F, 2)</f>
        <v>0</v>
      </c>
      <c r="G8" s="17">
        <f>COUNTIFS('myp-data'!$B:$B, $B8, 'myp-data'!$F:$F, 1)</f>
        <v>0</v>
      </c>
      <c r="H8" s="17">
        <f>COUNTIFS('myp-data'!$B:$B, $B8, 'myp-data'!$F:$F, 0)</f>
        <v>0</v>
      </c>
      <c r="I8" s="18">
        <f t="shared" si="0"/>
        <v>0</v>
      </c>
      <c r="J8" s="19"/>
    </row>
    <row r="9" spans="1:11" ht="12.75">
      <c r="A9" s="14"/>
      <c r="B9" s="15">
        <v>389563</v>
      </c>
      <c r="C9" s="16" t="s">
        <v>12</v>
      </c>
      <c r="D9" s="11" t="str">
        <f t="shared" si="1"/>
        <v>n/a</v>
      </c>
      <c r="E9" s="17">
        <f>COUNTIFS('myp-data'!$B:$B, $B9, 'myp-data'!$F:$F, 3)</f>
        <v>0</v>
      </c>
      <c r="F9" s="17">
        <f>COUNTIFS('myp-data'!$B:$B, $B9, 'myp-data'!$F:$F, 2)</f>
        <v>0</v>
      </c>
      <c r="G9" s="17">
        <f>COUNTIFS('myp-data'!$B:$B, $B9, 'myp-data'!$F:$F, 1)</f>
        <v>0</v>
      </c>
      <c r="H9" s="17">
        <f>COUNTIFS('myp-data'!$B:$B, $B9, 'myp-data'!$F:$F, 0)</f>
        <v>0</v>
      </c>
      <c r="I9" s="18">
        <f t="shared" si="0"/>
        <v>0</v>
      </c>
      <c r="J9" s="19"/>
    </row>
    <row r="10" spans="1:11" ht="12.75">
      <c r="A10" s="14"/>
      <c r="B10" s="15">
        <v>388433</v>
      </c>
      <c r="C10" s="16" t="s">
        <v>13</v>
      </c>
      <c r="D10" s="11" t="str">
        <f t="shared" si="1"/>
        <v>n/a</v>
      </c>
      <c r="E10" s="17">
        <f>COUNTIFS('myp-data'!$B:$B, $B10, 'myp-data'!$F:$F, 3)</f>
        <v>0</v>
      </c>
      <c r="F10" s="17">
        <f>COUNTIFS('myp-data'!$B:$B, $B10, 'myp-data'!$F:$F, 2)</f>
        <v>0</v>
      </c>
      <c r="G10" s="17">
        <f>COUNTIFS('myp-data'!$B:$B, $B10, 'myp-data'!$F:$F, 1)</f>
        <v>0</v>
      </c>
      <c r="H10" s="17">
        <f>COUNTIFS('myp-data'!$B:$B, $B10, 'myp-data'!$F:$F, 0)</f>
        <v>0</v>
      </c>
      <c r="I10" s="18">
        <f t="shared" si="0"/>
        <v>0</v>
      </c>
      <c r="J10" s="19"/>
    </row>
    <row r="11" spans="1:11">
      <c r="A11" s="14"/>
      <c r="B11" s="15"/>
      <c r="C11" s="16"/>
      <c r="D11" s="11" t="str">
        <f t="shared" si="1"/>
        <v>n/a</v>
      </c>
      <c r="E11" s="17">
        <f>COUNTIFS('myp-data'!$B:$B, $B11, 'myp-data'!$F:$F, 3)</f>
        <v>0</v>
      </c>
      <c r="F11" s="17">
        <f>COUNTIFS('myp-data'!$B:$B, $B11, 'myp-data'!$F:$F, 2)</f>
        <v>0</v>
      </c>
      <c r="G11" s="17">
        <f>COUNTIFS('myp-data'!$B:$B, $B11, 'myp-data'!$F:$F, 1)</f>
        <v>0</v>
      </c>
      <c r="H11" s="17">
        <f>COUNTIFS('myp-data'!$B:$B, $B11, 'myp-data'!$F:$F, 0)</f>
        <v>0</v>
      </c>
      <c r="I11" s="18">
        <f t="shared" si="0"/>
        <v>0</v>
      </c>
      <c r="J11" s="19"/>
    </row>
    <row r="12" spans="1:11">
      <c r="A12" s="14"/>
      <c r="B12" s="15"/>
      <c r="C12" s="16"/>
      <c r="D12" s="11" t="str">
        <f t="shared" si="1"/>
        <v>n/a</v>
      </c>
      <c r="E12" s="17">
        <f>COUNTIFS('myp-data'!$B:$B, $B12, 'myp-data'!$F:$F, 3)</f>
        <v>0</v>
      </c>
      <c r="F12" s="17">
        <f>COUNTIFS('myp-data'!$B:$B, $B12, 'myp-data'!$F:$F, 2)</f>
        <v>0</v>
      </c>
      <c r="G12" s="17">
        <f>COUNTIFS('myp-data'!$B:$B, $B12, 'myp-data'!$F:$F, 1)</f>
        <v>0</v>
      </c>
      <c r="H12" s="17">
        <f>COUNTIFS('myp-data'!$B:$B, $B12, 'myp-data'!$F:$F, 0)</f>
        <v>0</v>
      </c>
      <c r="I12" s="18">
        <f t="shared" si="0"/>
        <v>0</v>
      </c>
      <c r="J12" s="19"/>
    </row>
    <row r="13" spans="1:11">
      <c r="A13" s="14"/>
      <c r="B13" s="15"/>
      <c r="C13" s="16"/>
      <c r="D13" s="11" t="str">
        <f t="shared" si="1"/>
        <v>n/a</v>
      </c>
      <c r="E13" s="17">
        <f>COUNTIFS('myp-data'!$B:$B, $B13, 'myp-data'!$F:$F, 3)</f>
        <v>0</v>
      </c>
      <c r="F13" s="17">
        <f>COUNTIFS('myp-data'!$B:$B, $B13, 'myp-data'!$F:$F, 2)</f>
        <v>0</v>
      </c>
      <c r="G13" s="17">
        <f>COUNTIFS('myp-data'!$B:$B, $B13, 'myp-data'!$F:$F, 1)</f>
        <v>0</v>
      </c>
      <c r="H13" s="17">
        <f>COUNTIFS('myp-data'!$B:$B, $B13, 'myp-data'!$F:$F, 0)</f>
        <v>0</v>
      </c>
      <c r="I13" s="18">
        <f t="shared" si="0"/>
        <v>0</v>
      </c>
      <c r="J13" s="19"/>
    </row>
    <row r="14" spans="1:11">
      <c r="A14" s="14"/>
      <c r="B14" s="15"/>
      <c r="C14" s="16"/>
      <c r="D14" s="11" t="str">
        <f t="shared" si="1"/>
        <v>n/a</v>
      </c>
      <c r="E14" s="17">
        <f>COUNTIFS('myp-data'!$B:$B, $B14, 'myp-data'!$F:$F, 3)</f>
        <v>0</v>
      </c>
      <c r="F14" s="17">
        <f>COUNTIFS('myp-data'!$B:$B, $B14, 'myp-data'!$F:$F, 2)</f>
        <v>0</v>
      </c>
      <c r="G14" s="17">
        <f>COUNTIFS('myp-data'!$B:$B, $B14, 'myp-data'!$F:$F, 1)</f>
        <v>0</v>
      </c>
      <c r="H14" s="17">
        <f>COUNTIFS('myp-data'!$B:$B, $B14, 'myp-data'!$F:$F, 0)</f>
        <v>0</v>
      </c>
      <c r="I14" s="18">
        <f t="shared" si="0"/>
        <v>0</v>
      </c>
      <c r="J14" s="19"/>
    </row>
    <row r="15" spans="1:11">
      <c r="A15" s="14"/>
      <c r="B15" s="15"/>
      <c r="C15" s="16"/>
      <c r="D15" s="11" t="str">
        <f t="shared" si="1"/>
        <v>n/a</v>
      </c>
      <c r="E15" s="17">
        <f>COUNTIFS('myp-data'!$B:$B, $B15, 'myp-data'!$F:$F, 3)</f>
        <v>0</v>
      </c>
      <c r="F15" s="17">
        <f>COUNTIFS('myp-data'!$B:$B, $B15, 'myp-data'!$F:$F, 2)</f>
        <v>0</v>
      </c>
      <c r="G15" s="17">
        <f>COUNTIFS('myp-data'!$B:$B, $B15, 'myp-data'!$F:$F, 1)</f>
        <v>0</v>
      </c>
      <c r="H15" s="17">
        <f>COUNTIFS('myp-data'!$B:$B, $B15, 'myp-data'!$F:$F, 0)</f>
        <v>0</v>
      </c>
      <c r="I15" s="18">
        <f t="shared" si="0"/>
        <v>0</v>
      </c>
      <c r="J15" s="19"/>
    </row>
    <row r="16" spans="1:11">
      <c r="A16" s="14"/>
      <c r="B16" s="15"/>
      <c r="C16" s="16"/>
      <c r="D16" s="11" t="str">
        <f t="shared" si="1"/>
        <v>n/a</v>
      </c>
      <c r="E16" s="17">
        <f>COUNTIFS('myp-data'!$B:$B, $B16, 'myp-data'!$F:$F, 3)</f>
        <v>0</v>
      </c>
      <c r="F16" s="17">
        <f>COUNTIFS('myp-data'!$B:$B, $B16, 'myp-data'!$F:$F, 2)</f>
        <v>0</v>
      </c>
      <c r="G16" s="17">
        <f>COUNTIFS('myp-data'!$B:$B, $B16, 'myp-data'!$F:$F, 1)</f>
        <v>0</v>
      </c>
      <c r="H16" s="17">
        <f>COUNTIFS('myp-data'!$B:$B, $B16, 'myp-data'!$F:$F, 0)</f>
        <v>0</v>
      </c>
      <c r="I16" s="18">
        <f t="shared" si="0"/>
        <v>0</v>
      </c>
      <c r="J16" s="19"/>
    </row>
    <row r="17" spans="1:10">
      <c r="A17" s="14"/>
      <c r="B17" s="15"/>
      <c r="C17" s="16"/>
      <c r="D17" s="11" t="str">
        <f t="shared" si="1"/>
        <v>n/a</v>
      </c>
      <c r="E17" s="17">
        <f>COUNTIFS('myp-data'!$B:$B, $B17, 'myp-data'!$F:$F, 3)</f>
        <v>0</v>
      </c>
      <c r="F17" s="17">
        <f>COUNTIFS('myp-data'!$B:$B, $B17, 'myp-data'!$F:$F, 2)</f>
        <v>0</v>
      </c>
      <c r="G17" s="17">
        <f>COUNTIFS('myp-data'!$B:$B, $B17, 'myp-data'!$F:$F, 1)</f>
        <v>0</v>
      </c>
      <c r="H17" s="17">
        <f>COUNTIFS('myp-data'!$B:$B, $B17, 'myp-data'!$F:$F, 0)</f>
        <v>0</v>
      </c>
      <c r="I17" s="18">
        <f t="shared" si="0"/>
        <v>0</v>
      </c>
      <c r="J17" s="19"/>
    </row>
    <row r="18" spans="1:10">
      <c r="A18" s="14"/>
      <c r="B18" s="15"/>
      <c r="C18" s="16"/>
      <c r="D18" s="11" t="str">
        <f t="shared" si="1"/>
        <v>n/a</v>
      </c>
      <c r="E18" s="17">
        <f>COUNTIFS('myp-data'!$B:$B, $B18, 'myp-data'!$F:$F, 3)</f>
        <v>0</v>
      </c>
      <c r="F18" s="17">
        <f>COUNTIFS('myp-data'!$B:$B, $B18, 'myp-data'!$F:$F, 2)</f>
        <v>0</v>
      </c>
      <c r="G18" s="17">
        <f>COUNTIFS('myp-data'!$B:$B, $B18, 'myp-data'!$F:$F, 1)</f>
        <v>0</v>
      </c>
      <c r="H18" s="17">
        <f>COUNTIFS('myp-data'!$B:$B, $B18, 'myp-data'!$F:$F, 0)</f>
        <v>0</v>
      </c>
      <c r="I18" s="18">
        <f t="shared" si="0"/>
        <v>0</v>
      </c>
      <c r="J18" s="19"/>
    </row>
    <row r="19" spans="1:10">
      <c r="A19" s="14"/>
      <c r="B19" s="15"/>
      <c r="C19" s="16"/>
      <c r="D19" s="11" t="str">
        <f t="shared" si="1"/>
        <v>n/a</v>
      </c>
      <c r="E19" s="17">
        <f>COUNTIFS('myp-data'!$B:$B, $B19, 'myp-data'!$F:$F, 3)</f>
        <v>0</v>
      </c>
      <c r="F19" s="17">
        <f>COUNTIFS('myp-data'!$B:$B, $B19, 'myp-data'!$F:$F, 2)</f>
        <v>0</v>
      </c>
      <c r="G19" s="17">
        <f>COUNTIFS('myp-data'!$B:$B, $B19, 'myp-data'!$F:$F, 1)</f>
        <v>0</v>
      </c>
      <c r="H19" s="17">
        <f>COUNTIFS('myp-data'!$B:$B, $B19, 'myp-data'!$F:$F, 0)</f>
        <v>0</v>
      </c>
      <c r="I19" s="18">
        <f t="shared" si="0"/>
        <v>0</v>
      </c>
      <c r="J19" s="19"/>
    </row>
    <row r="20" spans="1:10">
      <c r="A20" s="14"/>
      <c r="B20" s="15"/>
      <c r="C20" s="16"/>
      <c r="D20" s="11" t="str">
        <f t="shared" si="1"/>
        <v>n/a</v>
      </c>
      <c r="E20" s="17">
        <f>COUNTIFS('myp-data'!$B:$B, $B20, 'myp-data'!$F:$F, 3)</f>
        <v>0</v>
      </c>
      <c r="F20" s="17">
        <f>COUNTIFS('myp-data'!$B:$B, $B20, 'myp-data'!$F:$F, 2)</f>
        <v>0</v>
      </c>
      <c r="G20" s="17">
        <f>COUNTIFS('myp-data'!$B:$B, $B20, 'myp-data'!$F:$F, 1)</f>
        <v>0</v>
      </c>
      <c r="H20" s="17">
        <f>COUNTIFS('myp-data'!$B:$B, $B20, 'myp-data'!$F:$F, 0)</f>
        <v>0</v>
      </c>
      <c r="I20" s="18">
        <f t="shared" si="0"/>
        <v>0</v>
      </c>
      <c r="J20" s="19"/>
    </row>
    <row r="21" spans="1:10">
      <c r="A21" s="14"/>
      <c r="B21" s="15"/>
      <c r="C21" s="16"/>
      <c r="D21" s="11" t="str">
        <f t="shared" si="1"/>
        <v>n/a</v>
      </c>
      <c r="E21" s="17">
        <f>COUNTIFS('myp-data'!$B:$B, $B21, 'myp-data'!$F:$F, 3)</f>
        <v>0</v>
      </c>
      <c r="F21" s="17">
        <f>COUNTIFS('myp-data'!$B:$B, $B21, 'myp-data'!$F:$F, 2)</f>
        <v>0</v>
      </c>
      <c r="G21" s="17">
        <f>COUNTIFS('myp-data'!$B:$B, $B21, 'myp-data'!$F:$F, 1)</f>
        <v>0</v>
      </c>
      <c r="H21" s="17">
        <f>COUNTIFS('myp-data'!$B:$B, $B21, 'myp-data'!$F:$F, 0)</f>
        <v>0</v>
      </c>
      <c r="I21" s="18">
        <f>SUM(E21:H21)</f>
        <v>0</v>
      </c>
      <c r="J21" s="19"/>
    </row>
    <row r="22" spans="1:10">
      <c r="A22" s="14"/>
      <c r="B22" s="15"/>
      <c r="C22" s="16"/>
      <c r="D22" s="11" t="str">
        <f t="shared" si="1"/>
        <v>n/a</v>
      </c>
      <c r="E22" s="17">
        <f>COUNTIFS('myp-data'!$B:$B, $B22, 'myp-data'!$F:$F, 3)</f>
        <v>0</v>
      </c>
      <c r="F22" s="17">
        <f>COUNTIFS('myp-data'!$B:$B, $B22, 'myp-data'!$F:$F, 2)</f>
        <v>0</v>
      </c>
      <c r="G22" s="17">
        <f>COUNTIFS('myp-data'!$B:$B, $B22, 'myp-data'!$F:$F, 1)</f>
        <v>0</v>
      </c>
      <c r="H22" s="17">
        <f>COUNTIFS('myp-data'!$B:$B, $B22, 'myp-data'!$F:$F, 0)</f>
        <v>0</v>
      </c>
      <c r="I22" s="18">
        <f t="shared" si="0"/>
        <v>0</v>
      </c>
      <c r="J22" s="19"/>
    </row>
    <row r="23" spans="1:10">
      <c r="A23" s="14"/>
      <c r="B23" s="15"/>
      <c r="C23" s="16"/>
      <c r="D23" s="11" t="str">
        <f t="shared" si="1"/>
        <v>n/a</v>
      </c>
      <c r="E23" s="17">
        <f>COUNTIFS('myp-data'!$B:$B, $B23, 'myp-data'!$F:$F, 3)</f>
        <v>0</v>
      </c>
      <c r="F23" s="17">
        <f>COUNTIFS('myp-data'!$B:$B, $B23, 'myp-data'!$F:$F, 2)</f>
        <v>0</v>
      </c>
      <c r="G23" s="17">
        <f>COUNTIFS('myp-data'!$B:$B, $B23, 'myp-data'!$F:$F, 1)</f>
        <v>0</v>
      </c>
      <c r="H23" s="17">
        <f>COUNTIFS('myp-data'!$B:$B, $B23, 'myp-data'!$F:$F, 0)</f>
        <v>0</v>
      </c>
      <c r="I23" s="18">
        <f t="shared" si="0"/>
        <v>0</v>
      </c>
      <c r="J23" s="19"/>
    </row>
    <row r="24" spans="1:10">
      <c r="A24" s="14"/>
      <c r="B24" s="15"/>
      <c r="C24" s="16"/>
      <c r="D24" s="11" t="str">
        <f t="shared" si="1"/>
        <v>n/a</v>
      </c>
      <c r="E24" s="17">
        <f>COUNTIFS('myp-data'!$B:$B, $B24, 'myp-data'!$F:$F, 3)</f>
        <v>0</v>
      </c>
      <c r="F24" s="17">
        <f>COUNTIFS('myp-data'!$B:$B, $B24, 'myp-data'!$F:$F, 2)</f>
        <v>0</v>
      </c>
      <c r="G24" s="17">
        <f>COUNTIFS('myp-data'!$B:$B, $B24, 'myp-data'!$F:$F, 1)</f>
        <v>0</v>
      </c>
      <c r="H24" s="17">
        <f>COUNTIFS('myp-data'!$B:$B, $B24, 'myp-data'!$F:$F, 0)</f>
        <v>0</v>
      </c>
      <c r="I24" s="18">
        <f t="shared" si="0"/>
        <v>0</v>
      </c>
      <c r="J24" s="19"/>
    </row>
    <row r="25" spans="1:10">
      <c r="A25" s="14"/>
      <c r="B25" s="15"/>
      <c r="C25" s="16"/>
      <c r="D25" s="11" t="str">
        <f t="shared" si="1"/>
        <v>n/a</v>
      </c>
      <c r="E25" s="17">
        <f>COUNTIFS('myp-data'!$B:$B, $B25, 'myp-data'!$F:$F, 3)</f>
        <v>0</v>
      </c>
      <c r="F25" s="17">
        <f>COUNTIFS('myp-data'!$B:$B, $B25, 'myp-data'!$F:$F, 2)</f>
        <v>0</v>
      </c>
      <c r="G25" s="17">
        <f>COUNTIFS('myp-data'!$B:$B, $B25, 'myp-data'!$F:$F, 1)</f>
        <v>0</v>
      </c>
      <c r="H25" s="17">
        <f>COUNTIFS('myp-data'!$B:$B, $B25, 'myp-data'!$F:$F, 0)</f>
        <v>0</v>
      </c>
      <c r="I25" s="18">
        <f t="shared" si="0"/>
        <v>0</v>
      </c>
      <c r="J25" s="19"/>
    </row>
    <row r="26" spans="1:10">
      <c r="A26" s="14"/>
      <c r="B26" s="15"/>
      <c r="C26" s="16"/>
      <c r="D26" s="11" t="str">
        <f t="shared" si="1"/>
        <v>n/a</v>
      </c>
      <c r="E26" s="17">
        <f>COUNTIFS('myp-data'!$B:$B, $B26, 'myp-data'!$F:$F, 3)</f>
        <v>0</v>
      </c>
      <c r="F26" s="17">
        <f>COUNTIFS('myp-data'!$B:$B, $B26, 'myp-data'!$F:$F, 2)</f>
        <v>0</v>
      </c>
      <c r="G26" s="17">
        <f>COUNTIFS('myp-data'!$B:$B, $B26, 'myp-data'!$F:$F, 1)</f>
        <v>0</v>
      </c>
      <c r="H26" s="17">
        <f>COUNTIFS('myp-data'!$B:$B, $B26, 'myp-data'!$F:$F, 0)</f>
        <v>0</v>
      </c>
      <c r="I26" s="18">
        <f t="shared" si="0"/>
        <v>0</v>
      </c>
      <c r="J26" s="19"/>
    </row>
    <row r="27" spans="1:10">
      <c r="A27" s="14"/>
      <c r="B27" s="15"/>
      <c r="C27" s="16"/>
      <c r="D27" s="11" t="str">
        <f t="shared" si="1"/>
        <v>n/a</v>
      </c>
      <c r="E27" s="17">
        <f>COUNTIFS('myp-data'!$B:$B, $B27, 'myp-data'!$F:$F, 3)</f>
        <v>0</v>
      </c>
      <c r="F27" s="17">
        <f>COUNTIFS('myp-data'!$B:$B, $B27, 'myp-data'!$F:$F, 2)</f>
        <v>0</v>
      </c>
      <c r="G27" s="17">
        <f>COUNTIFS('myp-data'!$B:$B, $B27, 'myp-data'!$F:$F, 1)</f>
        <v>0</v>
      </c>
      <c r="H27" s="17">
        <f>COUNTIFS('myp-data'!$B:$B, $B27, 'myp-data'!$F:$F, 0)</f>
        <v>0</v>
      </c>
      <c r="I27" s="18">
        <f t="shared" si="0"/>
        <v>0</v>
      </c>
      <c r="J27" s="19"/>
    </row>
    <row r="28" spans="1:10">
      <c r="A28" s="14"/>
      <c r="B28" s="15"/>
      <c r="C28" s="16"/>
      <c r="D28" s="11" t="str">
        <f t="shared" si="1"/>
        <v>n/a</v>
      </c>
      <c r="E28" s="17">
        <f>COUNTIFS('myp-data'!$B:$B, $B28, 'myp-data'!$F:$F, 3)</f>
        <v>0</v>
      </c>
      <c r="F28" s="17">
        <f>COUNTIFS('myp-data'!$B:$B, $B28, 'myp-data'!$F:$F, 2)</f>
        <v>0</v>
      </c>
      <c r="G28" s="17">
        <f>COUNTIFS('myp-data'!$B:$B, $B28, 'myp-data'!$F:$F, 1)</f>
        <v>0</v>
      </c>
      <c r="H28" s="17">
        <f>COUNTIFS('myp-data'!$B:$B, $B28, 'myp-data'!$F:$F, 0)</f>
        <v>0</v>
      </c>
      <c r="I28" s="18">
        <f t="shared" si="0"/>
        <v>0</v>
      </c>
      <c r="J28" s="19"/>
    </row>
    <row r="29" spans="1:10">
      <c r="A29" s="14"/>
      <c r="B29" s="15"/>
      <c r="C29" s="16"/>
      <c r="D29" s="11" t="str">
        <f t="shared" si="1"/>
        <v>n/a</v>
      </c>
      <c r="E29" s="17">
        <f>COUNTIFS('myp-data'!$B:$B, $B29, 'myp-data'!$F:$F, 3)</f>
        <v>0</v>
      </c>
      <c r="F29" s="17">
        <f>COUNTIFS('myp-data'!$B:$B, $B29, 'myp-data'!$F:$F, 2)</f>
        <v>0</v>
      </c>
      <c r="G29" s="17">
        <f>COUNTIFS('myp-data'!$B:$B, $B29, 'myp-data'!$F:$F, 1)</f>
        <v>0</v>
      </c>
      <c r="H29" s="17">
        <f>COUNTIFS('myp-data'!$B:$B, $B29, 'myp-data'!$F:$F, 0)</f>
        <v>0</v>
      </c>
      <c r="I29" s="18">
        <f t="shared" si="0"/>
        <v>0</v>
      </c>
      <c r="J29" s="19"/>
    </row>
    <row r="30" spans="1:10">
      <c r="A30" s="14"/>
      <c r="B30" s="15"/>
      <c r="C30" s="16"/>
      <c r="D30" s="11" t="str">
        <f t="shared" si="1"/>
        <v>n/a</v>
      </c>
      <c r="E30" s="17">
        <f>COUNTIFS('myp-data'!$B:$B, $B30, 'myp-data'!$F:$F, 3)</f>
        <v>0</v>
      </c>
      <c r="F30" s="17">
        <f>COUNTIFS('myp-data'!$B:$B, $B30, 'myp-data'!$F:$F, 2)</f>
        <v>0</v>
      </c>
      <c r="G30" s="17">
        <f>COUNTIFS('myp-data'!$B:$B, $B30, 'myp-data'!$F:$F, 1)</f>
        <v>0</v>
      </c>
      <c r="H30" s="17">
        <f>COUNTIFS('myp-data'!$B:$B, $B30, 'myp-data'!$F:$F, 0)</f>
        <v>0</v>
      </c>
      <c r="I30" s="18">
        <f t="shared" si="0"/>
        <v>0</v>
      </c>
      <c r="J30" s="19"/>
    </row>
    <row r="31" spans="1:10">
      <c r="A31" s="14"/>
      <c r="B31" s="15"/>
      <c r="C31" s="16"/>
      <c r="D31" s="11" t="str">
        <f t="shared" si="1"/>
        <v>n/a</v>
      </c>
      <c r="E31" s="17">
        <f>COUNTIFS('myp-data'!$B:$B, $B31, 'myp-data'!$F:$F, 3)</f>
        <v>0</v>
      </c>
      <c r="F31" s="17">
        <f>COUNTIFS('myp-data'!$B:$B, $B31, 'myp-data'!$F:$F, 2)</f>
        <v>0</v>
      </c>
      <c r="G31" s="17">
        <f>COUNTIFS('myp-data'!$B:$B, $B31, 'myp-data'!$F:$F, 1)</f>
        <v>0</v>
      </c>
      <c r="H31" s="17">
        <f>COUNTIFS('myp-data'!$B:$B, $B31, 'myp-data'!$F:$F, 0)</f>
        <v>0</v>
      </c>
      <c r="I31" s="18">
        <f t="shared" si="0"/>
        <v>0</v>
      </c>
      <c r="J31" s="19"/>
    </row>
    <row r="32" spans="1:10">
      <c r="A32" s="14"/>
      <c r="B32" s="15"/>
      <c r="C32" s="16"/>
      <c r="D32" s="11" t="str">
        <f t="shared" si="1"/>
        <v>n/a</v>
      </c>
      <c r="E32" s="17">
        <f>COUNTIFS('myp-data'!$B:$B, $B32, 'myp-data'!$F:$F, 3)</f>
        <v>0</v>
      </c>
      <c r="F32" s="17">
        <f>COUNTIFS('myp-data'!$B:$B, $B32, 'myp-data'!$F:$F, 2)</f>
        <v>0</v>
      </c>
      <c r="G32" s="17">
        <f>COUNTIFS('myp-data'!$B:$B, $B32, 'myp-data'!$F:$F, 1)</f>
        <v>0</v>
      </c>
      <c r="H32" s="17">
        <f>COUNTIFS('myp-data'!$B:$B, $B32, 'myp-data'!$F:$F, 0)</f>
        <v>0</v>
      </c>
      <c r="I32" s="18">
        <f t="shared" si="0"/>
        <v>0</v>
      </c>
      <c r="J32" s="19"/>
    </row>
    <row r="33" spans="1:10">
      <c r="A33" s="14"/>
      <c r="B33" s="15"/>
      <c r="C33" s="16"/>
      <c r="D33" s="11" t="str">
        <f t="shared" si="1"/>
        <v>n/a</v>
      </c>
      <c r="E33" s="17">
        <f>COUNTIFS('myp-data'!$B:$B, $B33, 'myp-data'!$F:$F, 3)</f>
        <v>0</v>
      </c>
      <c r="F33" s="17">
        <f>COUNTIFS('myp-data'!$B:$B, $B33, 'myp-data'!$F:$F, 2)</f>
        <v>0</v>
      </c>
      <c r="G33" s="17">
        <f>COUNTIFS('myp-data'!$B:$B, $B33, 'myp-data'!$F:$F, 1)</f>
        <v>0</v>
      </c>
      <c r="H33" s="17">
        <f>COUNTIFS('myp-data'!$B:$B, $B33, 'myp-data'!$F:$F, 0)</f>
        <v>0</v>
      </c>
      <c r="I33" s="18">
        <f t="shared" si="0"/>
        <v>0</v>
      </c>
      <c r="J33" s="19"/>
    </row>
    <row r="34" spans="1:10">
      <c r="A34" s="14"/>
      <c r="B34" s="15"/>
      <c r="C34" s="16"/>
      <c r="D34" s="11" t="str">
        <f t="shared" si="1"/>
        <v>n/a</v>
      </c>
      <c r="E34" s="17">
        <f>COUNTIFS('myp-data'!$B:$B, $B34, 'myp-data'!$F:$F, 3)</f>
        <v>0</v>
      </c>
      <c r="F34" s="17">
        <f>COUNTIFS('myp-data'!$B:$B, $B34, 'myp-data'!$F:$F, 2)</f>
        <v>0</v>
      </c>
      <c r="G34" s="17">
        <f>COUNTIFS('myp-data'!$B:$B, $B34, 'myp-data'!$F:$F, 1)</f>
        <v>0</v>
      </c>
      <c r="H34" s="17">
        <f>COUNTIFS('myp-data'!$B:$B, $B34, 'myp-data'!$F:$F, 0)</f>
        <v>0</v>
      </c>
      <c r="I34" s="18">
        <f t="shared" si="0"/>
        <v>0</v>
      </c>
      <c r="J34" s="19"/>
    </row>
    <row r="35" spans="1:10">
      <c r="A35" s="14"/>
      <c r="B35" s="15"/>
      <c r="C35" s="16"/>
      <c r="D35" s="11" t="str">
        <f t="shared" si="1"/>
        <v>n/a</v>
      </c>
      <c r="E35" s="17">
        <f>COUNTIFS('myp-data'!$B:$B, $B35, 'myp-data'!$F:$F, 3)</f>
        <v>0</v>
      </c>
      <c r="F35" s="17">
        <f>COUNTIFS('myp-data'!$B:$B, $B35, 'myp-data'!$F:$F, 2)</f>
        <v>0</v>
      </c>
      <c r="G35" s="17">
        <f>COUNTIFS('myp-data'!$B:$B, $B35, 'myp-data'!$F:$F, 1)</f>
        <v>0</v>
      </c>
      <c r="H35" s="17">
        <f>COUNTIFS('myp-data'!$B:$B, $B35, 'myp-data'!$F:$F, 0)</f>
        <v>0</v>
      </c>
      <c r="I35" s="18">
        <f t="shared" si="0"/>
        <v>0</v>
      </c>
      <c r="J35" s="19"/>
    </row>
    <row r="36" spans="1:10">
      <c r="A36" s="14"/>
      <c r="B36" s="15"/>
      <c r="C36" s="16"/>
      <c r="D36" s="11" t="str">
        <f t="shared" si="1"/>
        <v>n/a</v>
      </c>
      <c r="E36" s="17">
        <f>COUNTIFS('myp-data'!$B:$B, $B36, 'myp-data'!$F:$F, 3)</f>
        <v>0</v>
      </c>
      <c r="F36" s="17">
        <f>COUNTIFS('myp-data'!$B:$B, $B36, 'myp-data'!$F:$F, 2)</f>
        <v>0</v>
      </c>
      <c r="G36" s="17">
        <f>COUNTIFS('myp-data'!$B:$B, $B36, 'myp-data'!$F:$F, 1)</f>
        <v>0</v>
      </c>
      <c r="H36" s="17">
        <f>COUNTIFS('myp-data'!$B:$B, $B36, 'myp-data'!$F:$F, 0)</f>
        <v>0</v>
      </c>
      <c r="I36" s="18">
        <f t="shared" si="0"/>
        <v>0</v>
      </c>
      <c r="J36" s="19"/>
    </row>
    <row r="37" spans="1:10">
      <c r="A37" s="14"/>
      <c r="B37" s="15"/>
      <c r="C37" s="16"/>
      <c r="D37" s="11" t="str">
        <f t="shared" si="1"/>
        <v>n/a</v>
      </c>
      <c r="E37" s="17">
        <f>COUNTIFS('myp-data'!$B:$B, $B37, 'myp-data'!$F:$F, 3)</f>
        <v>0</v>
      </c>
      <c r="F37" s="17">
        <f>COUNTIFS('myp-data'!$B:$B, $B37, 'myp-data'!$F:$F, 2)</f>
        <v>0</v>
      </c>
      <c r="G37" s="17">
        <f>COUNTIFS('myp-data'!$B:$B, $B37, 'myp-data'!$F:$F, 1)</f>
        <v>0</v>
      </c>
      <c r="H37" s="17">
        <f>COUNTIFS('myp-data'!$B:$B, $B37, 'myp-data'!$F:$F, 0)</f>
        <v>0</v>
      </c>
      <c r="I37" s="18">
        <f t="shared" si="0"/>
        <v>0</v>
      </c>
      <c r="J37" s="19"/>
    </row>
    <row r="38" spans="1:10">
      <c r="A38" s="14"/>
      <c r="B38" s="15"/>
      <c r="C38" s="16"/>
      <c r="D38" s="11" t="str">
        <f t="shared" si="1"/>
        <v>n/a</v>
      </c>
      <c r="E38" s="17">
        <f>COUNTIFS('myp-data'!$B:$B, $B38, 'myp-data'!$F:$F, 3)</f>
        <v>0</v>
      </c>
      <c r="F38" s="17">
        <f>COUNTIFS('myp-data'!$B:$B, $B38, 'myp-data'!$F:$F, 2)</f>
        <v>0</v>
      </c>
      <c r="G38" s="17">
        <f>COUNTIFS('myp-data'!$B:$B, $B38, 'myp-data'!$F:$F, 1)</f>
        <v>0</v>
      </c>
      <c r="H38" s="17">
        <f>COUNTIFS('myp-data'!$B:$B, $B38, 'myp-data'!$F:$F, 0)</f>
        <v>0</v>
      </c>
      <c r="I38" s="18">
        <f t="shared" si="0"/>
        <v>0</v>
      </c>
      <c r="J38" s="19"/>
    </row>
    <row r="39" spans="1:10">
      <c r="A39" s="14"/>
      <c r="B39" s="15"/>
      <c r="C39" s="16"/>
      <c r="D39" s="11" t="str">
        <f t="shared" si="1"/>
        <v>n/a</v>
      </c>
      <c r="E39" s="17">
        <f>COUNTIFS('myp-data'!$B:$B, $B39, 'myp-data'!$F:$F, 3)</f>
        <v>0</v>
      </c>
      <c r="F39" s="17">
        <f>COUNTIFS('myp-data'!$B:$B, $B39, 'myp-data'!$F:$F, 2)</f>
        <v>0</v>
      </c>
      <c r="G39" s="17">
        <f>COUNTIFS('myp-data'!$B:$B, $B39, 'myp-data'!$F:$F, 1)</f>
        <v>0</v>
      </c>
      <c r="H39" s="17">
        <f>COUNTIFS('myp-data'!$B:$B, $B39, 'myp-data'!$F:$F, 0)</f>
        <v>0</v>
      </c>
      <c r="I39" s="18">
        <f t="shared" si="0"/>
        <v>0</v>
      </c>
      <c r="J39" s="19"/>
    </row>
    <row r="40" spans="1:10">
      <c r="A40" s="14"/>
      <c r="B40" s="15"/>
      <c r="C40" s="16"/>
      <c r="D40" s="11" t="str">
        <f t="shared" si="1"/>
        <v>n/a</v>
      </c>
      <c r="E40" s="17">
        <f>COUNTIFS('myp-data'!$B:$B, $B40, 'myp-data'!$F:$F, 3)</f>
        <v>0</v>
      </c>
      <c r="F40" s="17">
        <f>COUNTIFS('myp-data'!$B:$B, $B40, 'myp-data'!$F:$F, 2)</f>
        <v>0</v>
      </c>
      <c r="G40" s="17">
        <f>COUNTIFS('myp-data'!$B:$B, $B40, 'myp-data'!$F:$F, 1)</f>
        <v>0</v>
      </c>
      <c r="H40" s="17">
        <f>COUNTIFS('myp-data'!$B:$B, $B40, 'myp-data'!$F:$F, 0)</f>
        <v>0</v>
      </c>
      <c r="I40" s="18">
        <f t="shared" si="0"/>
        <v>0</v>
      </c>
      <c r="J40" s="19"/>
    </row>
    <row r="41" spans="1:10">
      <c r="A41" s="14"/>
      <c r="B41" s="15"/>
      <c r="C41" s="16"/>
      <c r="D41" s="11" t="str">
        <f t="shared" si="1"/>
        <v>n/a</v>
      </c>
      <c r="E41" s="17">
        <f>COUNTIFS('myp-data'!$B:$B, $B41, 'myp-data'!$F:$F, 3)</f>
        <v>0</v>
      </c>
      <c r="F41" s="17">
        <f>COUNTIFS('myp-data'!$B:$B, $B41, 'myp-data'!$F:$F, 2)</f>
        <v>0</v>
      </c>
      <c r="G41" s="17">
        <f>COUNTIFS('myp-data'!$B:$B, $B41, 'myp-data'!$F:$F, 1)</f>
        <v>0</v>
      </c>
      <c r="H41" s="17">
        <f>COUNTIFS('myp-data'!$B:$B, $B41, 'myp-data'!$F:$F, 0)</f>
        <v>0</v>
      </c>
      <c r="I41" s="18">
        <f t="shared" si="0"/>
        <v>0</v>
      </c>
      <c r="J41" s="19"/>
    </row>
    <row r="42" spans="1:10">
      <c r="A42" s="14"/>
      <c r="B42" s="15"/>
      <c r="C42" s="16"/>
      <c r="D42" s="11" t="str">
        <f t="shared" si="1"/>
        <v>n/a</v>
      </c>
      <c r="E42" s="17">
        <f>COUNTIFS('myp-data'!$B:$B, $B42, 'myp-data'!$F:$F, 3)</f>
        <v>0</v>
      </c>
      <c r="F42" s="17">
        <f>COUNTIFS('myp-data'!$B:$B, $B42, 'myp-data'!$F:$F, 2)</f>
        <v>0</v>
      </c>
      <c r="G42" s="17">
        <f>COUNTIFS('myp-data'!$B:$B, $B42, 'myp-data'!$F:$F, 1)</f>
        <v>0</v>
      </c>
      <c r="H42" s="17">
        <f>COUNTIFS('myp-data'!$B:$B, $B42, 'myp-data'!$F:$F, 0)</f>
        <v>0</v>
      </c>
      <c r="I42" s="18">
        <f t="shared" si="0"/>
        <v>0</v>
      </c>
      <c r="J42" s="19"/>
    </row>
    <row r="43" spans="1:10">
      <c r="A43" s="14"/>
      <c r="B43" s="15"/>
      <c r="C43" s="16"/>
      <c r="D43" s="11" t="str">
        <f t="shared" si="1"/>
        <v>n/a</v>
      </c>
      <c r="E43" s="17">
        <f>COUNTIFS('myp-data'!$B:$B, $B43, 'myp-data'!$F:$F, 3)</f>
        <v>0</v>
      </c>
      <c r="F43" s="17">
        <f>COUNTIFS('myp-data'!$B:$B, $B43, 'myp-data'!$F:$F, 2)</f>
        <v>0</v>
      </c>
      <c r="G43" s="17">
        <f>COUNTIFS('myp-data'!$B:$B, $B43, 'myp-data'!$F:$F, 1)</f>
        <v>0</v>
      </c>
      <c r="H43" s="17">
        <f>COUNTIFS('myp-data'!$B:$B, $B43, 'myp-data'!$F:$F, 0)</f>
        <v>0</v>
      </c>
      <c r="I43" s="18">
        <f t="shared" si="0"/>
        <v>0</v>
      </c>
      <c r="J43" s="19"/>
    </row>
    <row r="44" spans="1:10">
      <c r="A44" s="14"/>
      <c r="B44" s="15"/>
      <c r="C44" s="16"/>
      <c r="D44" s="11" t="str">
        <f t="shared" si="1"/>
        <v>n/a</v>
      </c>
      <c r="E44" s="17">
        <f>COUNTIFS('myp-data'!$B:$B, $B44, 'myp-data'!$F:$F, 3)</f>
        <v>0</v>
      </c>
      <c r="F44" s="17">
        <f>COUNTIFS('myp-data'!$B:$B, $B44, 'myp-data'!$F:$F, 2)</f>
        <v>0</v>
      </c>
      <c r="G44" s="17">
        <f>COUNTIFS('myp-data'!$B:$B, $B44, 'myp-data'!$F:$F, 1)</f>
        <v>0</v>
      </c>
      <c r="H44" s="17">
        <f>COUNTIFS('myp-data'!$B:$B, $B44, 'myp-data'!$F:$F, 0)</f>
        <v>0</v>
      </c>
      <c r="I44" s="18">
        <f t="shared" si="0"/>
        <v>0</v>
      </c>
      <c r="J44" s="19"/>
    </row>
    <row r="45" spans="1:10">
      <c r="A45" s="14"/>
      <c r="B45" s="15"/>
      <c r="C45" s="16"/>
      <c r="D45" s="11" t="str">
        <f t="shared" si="1"/>
        <v>n/a</v>
      </c>
      <c r="E45" s="17">
        <f>COUNTIFS('myp-data'!$B:$B, $B45, 'myp-data'!$F:$F, 3)</f>
        <v>0</v>
      </c>
      <c r="F45" s="17">
        <f>COUNTIFS('myp-data'!$B:$B, $B45, 'myp-data'!$F:$F, 2)</f>
        <v>0</v>
      </c>
      <c r="G45" s="17">
        <f>COUNTIFS('myp-data'!$B:$B, $B45, 'myp-data'!$F:$F, 1)</f>
        <v>0</v>
      </c>
      <c r="H45" s="17">
        <f>COUNTIFS('myp-data'!$B:$B, $B45, 'myp-data'!$F:$F, 0)</f>
        <v>0</v>
      </c>
      <c r="I45" s="18">
        <f t="shared" si="0"/>
        <v>0</v>
      </c>
      <c r="J45" s="19"/>
    </row>
    <row r="46" spans="1:10">
      <c r="A46" s="14"/>
      <c r="B46" s="15"/>
      <c r="C46" s="16"/>
      <c r="D46" s="11" t="str">
        <f t="shared" si="1"/>
        <v>n/a</v>
      </c>
      <c r="E46" s="17">
        <f>COUNTIFS('myp-data'!$B:$B, $B46, 'myp-data'!$F:$F, 3)</f>
        <v>0</v>
      </c>
      <c r="F46" s="17">
        <f>COUNTIFS('myp-data'!$B:$B, $B46, 'myp-data'!$F:$F, 2)</f>
        <v>0</v>
      </c>
      <c r="G46" s="17">
        <f>COUNTIFS('myp-data'!$B:$B, $B46, 'myp-data'!$F:$F, 1)</f>
        <v>0</v>
      </c>
      <c r="H46" s="17">
        <f>COUNTIFS('myp-data'!$B:$B, $B46, 'myp-data'!$F:$F, 0)</f>
        <v>0</v>
      </c>
      <c r="I46" s="18">
        <f t="shared" si="0"/>
        <v>0</v>
      </c>
      <c r="J46" s="19"/>
    </row>
    <row r="47" spans="1:10">
      <c r="A47" s="14"/>
      <c r="B47" s="15"/>
      <c r="C47" s="16"/>
      <c r="D47" s="11" t="str">
        <f t="shared" si="1"/>
        <v>n/a</v>
      </c>
      <c r="E47" s="17">
        <f>COUNTIFS('myp-data'!$B:$B, $B47, 'myp-data'!$F:$F, 3)</f>
        <v>0</v>
      </c>
      <c r="F47" s="17">
        <f>COUNTIFS('myp-data'!$B:$B, $B47, 'myp-data'!$F:$F, 2)</f>
        <v>0</v>
      </c>
      <c r="G47" s="17">
        <f>COUNTIFS('myp-data'!$B:$B, $B47, 'myp-data'!$F:$F, 1)</f>
        <v>0</v>
      </c>
      <c r="H47" s="17">
        <f>COUNTIFS('myp-data'!$B:$B, $B47, 'myp-data'!$F:$F, 0)</f>
        <v>0</v>
      </c>
      <c r="I47" s="18">
        <f t="shared" si="0"/>
        <v>0</v>
      </c>
      <c r="J47" s="19"/>
    </row>
    <row r="48" spans="1:10">
      <c r="A48" s="14"/>
      <c r="B48" s="15"/>
      <c r="C48" s="16"/>
      <c r="D48" s="11" t="str">
        <f t="shared" si="1"/>
        <v>n/a</v>
      </c>
      <c r="E48" s="17">
        <f>COUNTIFS('myp-data'!$B:$B, $B48, 'myp-data'!$F:$F, 3)</f>
        <v>0</v>
      </c>
      <c r="F48" s="17">
        <f>COUNTIFS('myp-data'!$B:$B, $B48, 'myp-data'!$F:$F, 2)</f>
        <v>0</v>
      </c>
      <c r="G48" s="17">
        <f>COUNTIFS('myp-data'!$B:$B, $B48, 'myp-data'!$F:$F, 1)</f>
        <v>0</v>
      </c>
      <c r="H48" s="17">
        <f>COUNTIFS('myp-data'!$B:$B, $B48, 'myp-data'!$F:$F, 0)</f>
        <v>0</v>
      </c>
      <c r="I48" s="18">
        <f t="shared" si="0"/>
        <v>0</v>
      </c>
      <c r="J48" s="19"/>
    </row>
    <row r="49" spans="1:10">
      <c r="A49" s="14"/>
      <c r="B49" s="15"/>
      <c r="C49" s="16"/>
      <c r="D49" s="11" t="str">
        <f t="shared" si="1"/>
        <v>n/a</v>
      </c>
      <c r="E49" s="17">
        <f>COUNTIFS('myp-data'!$B:$B, $B49, 'myp-data'!$F:$F, 3)</f>
        <v>0</v>
      </c>
      <c r="F49" s="17">
        <f>COUNTIFS('myp-data'!$B:$B, $B49, 'myp-data'!$F:$F, 2)</f>
        <v>0</v>
      </c>
      <c r="G49" s="17">
        <f>COUNTIFS('myp-data'!$B:$B, $B49, 'myp-data'!$F:$F, 1)</f>
        <v>0</v>
      </c>
      <c r="H49" s="17">
        <f>COUNTIFS('myp-data'!$B:$B, $B49, 'myp-data'!$F:$F, 0)</f>
        <v>0</v>
      </c>
      <c r="I49" s="18">
        <f t="shared" si="0"/>
        <v>0</v>
      </c>
      <c r="J49" s="19"/>
    </row>
    <row r="50" spans="1:10">
      <c r="A50" s="14"/>
      <c r="B50" s="15"/>
      <c r="C50" s="16"/>
      <c r="D50" s="11" t="str">
        <f t="shared" si="1"/>
        <v>n/a</v>
      </c>
      <c r="E50" s="17">
        <f>COUNTIFS('myp-data'!$B:$B, $B50, 'myp-data'!$F:$F, 3)</f>
        <v>0</v>
      </c>
      <c r="F50" s="17">
        <f>COUNTIFS('myp-data'!$B:$B, $B50, 'myp-data'!$F:$F, 2)</f>
        <v>0</v>
      </c>
      <c r="G50" s="17">
        <f>COUNTIFS('myp-data'!$B:$B, $B50, 'myp-data'!$F:$F, 1)</f>
        <v>0</v>
      </c>
      <c r="H50" s="17">
        <f>COUNTIFS('myp-data'!$B:$B, $B50, 'myp-data'!$F:$F, 0)</f>
        <v>0</v>
      </c>
      <c r="I50" s="18">
        <f t="shared" si="0"/>
        <v>0</v>
      </c>
      <c r="J50" s="19"/>
    </row>
    <row r="51" spans="1:10">
      <c r="A51" s="14"/>
      <c r="B51" s="15"/>
      <c r="C51" s="16"/>
      <c r="D51" s="11" t="str">
        <f t="shared" si="1"/>
        <v>n/a</v>
      </c>
      <c r="E51" s="17">
        <f>COUNTIFS('myp-data'!$B:$B, $B51, 'myp-data'!$F:$F, 3)</f>
        <v>0</v>
      </c>
      <c r="F51" s="17">
        <f>COUNTIFS('myp-data'!$B:$B, $B51, 'myp-data'!$F:$F, 2)</f>
        <v>0</v>
      </c>
      <c r="G51" s="17">
        <f>COUNTIFS('myp-data'!$B:$B, $B51, 'myp-data'!$F:$F, 1)</f>
        <v>0</v>
      </c>
      <c r="H51" s="17">
        <f>COUNTIFS('myp-data'!$B:$B, $B51, 'myp-data'!$F:$F, 0)</f>
        <v>0</v>
      </c>
      <c r="I51" s="18">
        <f t="shared" si="0"/>
        <v>0</v>
      </c>
      <c r="J51" s="19"/>
    </row>
    <row r="52" spans="1:10">
      <c r="A52" s="14"/>
      <c r="B52" s="15"/>
      <c r="C52" s="16"/>
      <c r="D52" s="11" t="str">
        <f t="shared" si="1"/>
        <v>n/a</v>
      </c>
      <c r="E52" s="17">
        <f>COUNTIFS('myp-data'!$B:$B, $B52, 'myp-data'!$F:$F, 3)</f>
        <v>0</v>
      </c>
      <c r="F52" s="17">
        <f>COUNTIFS('myp-data'!$B:$B, $B52, 'myp-data'!$F:$F, 2)</f>
        <v>0</v>
      </c>
      <c r="G52" s="17">
        <f>COUNTIFS('myp-data'!$B:$B, $B52, 'myp-data'!$F:$F, 1)</f>
        <v>0</v>
      </c>
      <c r="H52" s="17">
        <f>COUNTIFS('myp-data'!$B:$B, $B52, 'myp-data'!$F:$F, 0)</f>
        <v>0</v>
      </c>
      <c r="I52" s="18">
        <f t="shared" si="0"/>
        <v>0</v>
      </c>
      <c r="J52" s="19"/>
    </row>
    <row r="53" spans="1:10">
      <c r="A53" s="14"/>
      <c r="B53" s="15"/>
      <c r="C53" s="16"/>
      <c r="D53" s="11" t="str">
        <f t="shared" si="1"/>
        <v>n/a</v>
      </c>
      <c r="E53" s="17">
        <f>COUNTIFS('myp-data'!$B:$B, $B53, 'myp-data'!$F:$F, 3)</f>
        <v>0</v>
      </c>
      <c r="F53" s="17">
        <f>COUNTIFS('myp-data'!$B:$B, $B53, 'myp-data'!$F:$F, 2)</f>
        <v>0</v>
      </c>
      <c r="G53" s="17">
        <f>COUNTIFS('myp-data'!$B:$B, $B53, 'myp-data'!$F:$F, 1)</f>
        <v>0</v>
      </c>
      <c r="H53" s="17">
        <f>COUNTIFS('myp-data'!$B:$B, $B53, 'myp-data'!$F:$F, 0)</f>
        <v>0</v>
      </c>
      <c r="I53" s="18">
        <f t="shared" si="0"/>
        <v>0</v>
      </c>
      <c r="J53" s="19"/>
    </row>
  </sheetData>
  <protectedRanges>
    <protectedRange sqref="B7:C53" name="Sælgere"/>
  </protectedRanges>
  <autoFilter ref="I6:I53" xr:uid="{00000000-0001-0000-0000-000000000000}"/>
  <customSheetViews>
    <customSheetView guid="{EB665474-44B0-4EFB-B4D4-7F139B5DD340}" filter="1" showAutoFilter="1">
      <autoFilter ref="B6:I1005" xr:uid="{A9056C69-EB63-4825-A546-BFFDE82A7484}">
        <filterColumn colId="7">
          <customFilters>
            <customFilter operator="greaterThan" val="0"/>
          </customFilters>
        </filterColumn>
      </autoFilter>
    </customSheetView>
  </customSheetViews>
  <mergeCells count="5">
    <mergeCell ref="B2:I2"/>
    <mergeCell ref="B1:I1"/>
    <mergeCell ref="B3:I3"/>
    <mergeCell ref="B4:I4"/>
    <mergeCell ref="B5:I5"/>
  </mergeCells>
  <conditionalFormatting sqref="D7:D53">
    <cfRule type="cellIs" dxfId="3" priority="2" operator="greaterThanOrEqual">
      <formula>0.5</formula>
    </cfRule>
  </conditionalFormatting>
  <conditionalFormatting sqref="D7:D53">
    <cfRule type="cellIs" dxfId="2" priority="3" operator="greaterThanOrEqual">
      <formula>0.3</formula>
    </cfRule>
  </conditionalFormatting>
  <conditionalFormatting sqref="D7:D53">
    <cfRule type="cellIs" dxfId="1" priority="4" operator="greaterThanOrEqual">
      <formula>0</formula>
    </cfRule>
  </conditionalFormatting>
  <conditionalFormatting sqref="D7:D53">
    <cfRule type="cellIs" dxfId="0" priority="1" operator="equal">
      <formula>"n/a"</formula>
    </cfRule>
  </conditionalFormatting>
  <hyperlinks>
    <hyperlink ref="K2" r:id="rId1" xr:uid="{78D40E23-E28D-4547-8345-DDD64E076497}"/>
  </hyperlinks>
  <pageMargins left="0" right="0" top="0" bottom="0" header="0" footer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3"/>
  <sheetViews>
    <sheetView showGridLines="0" tabSelected="1" workbookViewId="0">
      <selection activeCell="E27" sqref="E27"/>
    </sheetView>
  </sheetViews>
  <sheetFormatPr defaultColWidth="12.5703125" defaultRowHeight="15.75" customHeight="1"/>
  <cols>
    <col min="1" max="1" width="16.5703125" style="33" customWidth="1"/>
    <col min="2" max="6" width="12.5703125" style="25"/>
    <col min="7" max="7" width="12.5703125" style="32"/>
  </cols>
  <sheetData>
    <row r="1" spans="1:7" ht="12.75">
      <c r="A1" s="28"/>
      <c r="B1" s="29"/>
      <c r="C1" s="29"/>
      <c r="D1" s="29"/>
      <c r="E1" s="29"/>
      <c r="F1" s="29"/>
      <c r="G1" s="30"/>
    </row>
    <row r="2" spans="1:7" ht="12.75">
      <c r="A2" s="31"/>
    </row>
    <row r="3" spans="1:7" ht="12.75">
      <c r="A3" s="31"/>
    </row>
    <row r="4" spans="1:7" ht="12.75">
      <c r="A4" s="31"/>
      <c r="D4" s="26"/>
    </row>
    <row r="5" spans="1:7" ht="12.75">
      <c r="A5" s="31"/>
      <c r="D5" s="27"/>
    </row>
    <row r="6" spans="1:7" ht="12.75">
      <c r="A6" s="31"/>
    </row>
    <row r="7" spans="1:7" ht="12.75">
      <c r="A7" s="31"/>
    </row>
    <row r="8" spans="1:7" ht="12.75">
      <c r="A8" s="31"/>
    </row>
    <row r="9" spans="1:7" ht="12.75">
      <c r="A9" s="31"/>
    </row>
    <row r="10" spans="1:7" ht="12.75">
      <c r="A10" s="31"/>
    </row>
    <row r="11" spans="1:7" ht="12.75">
      <c r="A11" s="31"/>
    </row>
    <row r="12" spans="1:7" ht="12.75">
      <c r="A12" s="31"/>
    </row>
    <row r="13" spans="1:7" ht="12.75">
      <c r="A13" s="31"/>
    </row>
    <row r="14" spans="1:7" ht="12.75">
      <c r="A14" s="31"/>
    </row>
    <row r="15" spans="1:7" ht="12.75">
      <c r="A15" s="31"/>
    </row>
    <row r="16" spans="1:7" ht="12.75">
      <c r="A16" s="31"/>
    </row>
    <row r="17" spans="1:1" ht="12.75">
      <c r="A17" s="31"/>
    </row>
    <row r="18" spans="1:1" ht="12.75">
      <c r="A18" s="31"/>
    </row>
    <row r="19" spans="1:1" ht="12.75">
      <c r="A19" s="31"/>
    </row>
    <row r="20" spans="1:1" ht="12.75">
      <c r="A20" s="31"/>
    </row>
    <row r="21" spans="1:1" ht="12.75">
      <c r="A21" s="31"/>
    </row>
    <row r="22" spans="1:1" ht="12.75">
      <c r="A22" s="31"/>
    </row>
    <row r="23" spans="1:1" ht="12.75">
      <c r="A23" s="31"/>
    </row>
    <row r="24" spans="1:1" ht="12.75">
      <c r="A24" s="31"/>
    </row>
    <row r="25" spans="1:1" ht="12.75">
      <c r="A25" s="31"/>
    </row>
    <row r="26" spans="1:1" ht="12.75">
      <c r="A26" s="31"/>
    </row>
    <row r="27" spans="1:1" ht="12.75">
      <c r="A27" s="31"/>
    </row>
    <row r="28" spans="1:1" ht="12.75">
      <c r="A28" s="31"/>
    </row>
    <row r="29" spans="1:1" ht="12.75">
      <c r="A29" s="31"/>
    </row>
    <row r="30" spans="1:1" ht="12.75">
      <c r="A30" s="31"/>
    </row>
    <row r="31" spans="1:1" ht="12.75">
      <c r="A31" s="31"/>
    </row>
    <row r="32" spans="1:1" ht="12.75">
      <c r="A32" s="31"/>
    </row>
    <row r="33" spans="1:4" ht="12.75">
      <c r="A33" s="31"/>
    </row>
    <row r="34" spans="1:4" ht="12.75">
      <c r="A34" s="31"/>
    </row>
    <row r="35" spans="1:4" ht="12.75">
      <c r="A35" s="31"/>
    </row>
    <row r="36" spans="1:4" ht="12.75">
      <c r="A36" s="31"/>
    </row>
    <row r="37" spans="1:4" ht="12.75">
      <c r="A37" s="31"/>
    </row>
    <row r="38" spans="1:4" ht="12.75">
      <c r="A38" s="31"/>
    </row>
    <row r="39" spans="1:4" ht="12.75">
      <c r="A39" s="31"/>
    </row>
    <row r="40" spans="1:4" ht="12.75">
      <c r="A40" s="31"/>
    </row>
    <row r="41" spans="1:4" ht="12.75">
      <c r="A41" s="31"/>
    </row>
    <row r="42" spans="1:4" ht="12.75">
      <c r="A42" s="31"/>
      <c r="D42" s="26"/>
    </row>
    <row r="43" spans="1:4" ht="12.75">
      <c r="A43" s="31"/>
    </row>
    <row r="44" spans="1:4" ht="12.75">
      <c r="A44" s="31"/>
    </row>
    <row r="45" spans="1:4" ht="12.75">
      <c r="A45" s="31"/>
    </row>
    <row r="46" spans="1:4" ht="12.75">
      <c r="A46" s="31"/>
      <c r="D46" s="26"/>
    </row>
    <row r="47" spans="1:4" ht="12.75">
      <c r="A47" s="31"/>
      <c r="D47" s="26"/>
    </row>
    <row r="48" spans="1:4" ht="12.75">
      <c r="A48" s="31"/>
    </row>
    <row r="49" spans="1:4" ht="12.75">
      <c r="A49" s="31"/>
    </row>
    <row r="50" spans="1:4" ht="12.75">
      <c r="A50" s="31"/>
    </row>
    <row r="51" spans="1:4" ht="12.75">
      <c r="A51" s="31"/>
    </row>
    <row r="52" spans="1:4" ht="12.75">
      <c r="A52" s="31"/>
    </row>
    <row r="53" spans="1:4" ht="12.75">
      <c r="A53" s="31"/>
    </row>
    <row r="54" spans="1:4" ht="12.75">
      <c r="A54" s="31"/>
    </row>
    <row r="55" spans="1:4" ht="12.75">
      <c r="A55" s="31"/>
      <c r="D55" s="26"/>
    </row>
    <row r="56" spans="1:4" ht="12.75">
      <c r="A56" s="31"/>
    </row>
    <row r="57" spans="1:4" ht="12.75">
      <c r="A57" s="31"/>
      <c r="D57" s="27"/>
    </row>
    <row r="58" spans="1:4" ht="12.75">
      <c r="A58" s="31"/>
      <c r="D58" s="26"/>
    </row>
    <row r="59" spans="1:4" ht="12.75">
      <c r="A59" s="31"/>
      <c r="D59" s="26"/>
    </row>
    <row r="60" spans="1:4" ht="12.75">
      <c r="A60" s="31"/>
      <c r="D60" s="26"/>
    </row>
    <row r="61" spans="1:4" ht="12.75">
      <c r="A61" s="31"/>
    </row>
    <row r="62" spans="1:4" ht="12.75">
      <c r="A62" s="31"/>
      <c r="D62" s="26"/>
    </row>
    <row r="63" spans="1:4" ht="12.75">
      <c r="A63" s="31"/>
      <c r="D63" s="26"/>
    </row>
    <row r="64" spans="1:4" ht="12.75">
      <c r="A64" s="31"/>
    </row>
    <row r="65" spans="1:1" ht="15.75" customHeight="1">
      <c r="A65" s="31"/>
    </row>
    <row r="66" spans="1:1" ht="15.75" customHeight="1">
      <c r="A66" s="31"/>
    </row>
    <row r="67" spans="1:1" ht="15.75" customHeight="1">
      <c r="A67" s="31"/>
    </row>
    <row r="68" spans="1:1" ht="15.75" customHeight="1">
      <c r="A68" s="31"/>
    </row>
    <row r="69" spans="1:1" ht="15.75" customHeight="1">
      <c r="A69" s="31"/>
    </row>
    <row r="70" spans="1:1" ht="15.75" customHeight="1">
      <c r="A70" s="31"/>
    </row>
    <row r="71" spans="1:1" ht="15.75" customHeight="1">
      <c r="A71" s="31"/>
    </row>
    <row r="72" spans="1:1" ht="15.75" customHeight="1">
      <c r="A72" s="31"/>
    </row>
    <row r="73" spans="1:1" ht="15.75" customHeight="1">
      <c r="A73" s="31"/>
    </row>
    <row r="74" spans="1:1" ht="15.75" customHeight="1">
      <c r="A74" s="31"/>
    </row>
    <row r="75" spans="1:1" ht="15.75" customHeight="1">
      <c r="A75" s="31"/>
    </row>
    <row r="76" spans="1:1" ht="15.75" customHeight="1">
      <c r="A76" s="31"/>
    </row>
    <row r="77" spans="1:1" ht="15.75" customHeight="1">
      <c r="A77" s="31"/>
    </row>
    <row r="78" spans="1:1" ht="15.75" customHeight="1">
      <c r="A78" s="31"/>
    </row>
    <row r="79" spans="1:1" ht="15.75" customHeight="1">
      <c r="A79" s="31"/>
    </row>
    <row r="80" spans="1:1" ht="15.75" customHeight="1">
      <c r="A80" s="31"/>
    </row>
    <row r="81" spans="1:1" ht="15.75" customHeight="1">
      <c r="A81" s="31"/>
    </row>
    <row r="82" spans="1:1" ht="15.75" customHeight="1">
      <c r="A82" s="31"/>
    </row>
    <row r="83" spans="1:1" ht="15.75" customHeight="1">
      <c r="A83" s="3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2025-01-29T21:08:02Z</dcterms:created>
  <dcterms:modified xsi:type="dcterms:W3CDTF">2025-02-07T11:00:38Z</dcterms:modified>
  <cp:category/>
  <cp:contentStatus/>
</cp:coreProperties>
</file>